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Расчёт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"/>
  </numFmts>
  <fonts count="3">
    <font>
      <sz val="11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cols>
    <col min="1" max="1" width="52" customWidth="1"/>
    <col min="2" max="2" width="20" customWidth="1"/>
    <col min="3" max="3" width="46" customWidth="1"/>
  </cols>
  <sheetData>
    <row r="1">
      <c r="A1" t="inlineStr" s="2">
        <is>
          <t xml:space="preserve">Домашнее задание. Урок 6. Построение гипотез. A/B тестирование</t>
        </is>
      </c>
    </row>
    <row r="3">
      <c r="A3" t="inlineStr" s="3">
        <is>
          <t xml:space="preserve">Исходные данные</t>
        </is>
      </c>
    </row>
    <row r="4">
      <c r="A4" t="inlineStr" s="0">
        <is>
          <t xml:space="preserve">nA — размер выборки группы A (старая страница)</t>
        </is>
      </c>
      <c r="B4" s="0">
        <v>100</v>
      </c>
    </row>
    <row r="5">
      <c r="A5" t="inlineStr" s="0">
        <is>
          <t xml:space="preserve">nB — размер выборки группы B (новая страница)</t>
        </is>
      </c>
      <c r="B5" s="0">
        <v>100</v>
      </c>
    </row>
    <row r="6">
      <c r="A6" t="inlineStr" s="0">
        <is>
          <t xml:space="preserve">pA — доля переходов в группе A</t>
        </is>
      </c>
      <c r="B6" s="0">
        <v>0.4</v>
      </c>
    </row>
    <row r="7">
      <c r="A7" t="inlineStr" s="0">
        <is>
          <t xml:space="preserve">pB — доля переходов в группе B</t>
        </is>
      </c>
      <c r="B7" s="0">
        <v>0.5</v>
      </c>
    </row>
    <row r="8">
      <c r="A8" t="inlineStr" s="0">
        <is>
          <t xml:space="preserve">alpha — уровень значимости</t>
        </is>
      </c>
      <c r="B8" s="0">
        <v>0.05</v>
      </c>
    </row>
    <row r="9">
      <c r="A9" t="inlineStr" s="0">
        <is>
          <t xml:space="preserve">1-beta — мощность теста</t>
        </is>
      </c>
      <c r="B9" s="0">
        <v>0.8</v>
      </c>
    </row>
    <row r="11">
      <c r="A11" t="inlineStr" s="3">
        <is>
          <t xml:space="preserve">Проверка гипотезы (пункты 1-4)</t>
        </is>
      </c>
    </row>
    <row r="12">
      <c r="A12" t="inlineStr" s="0">
        <is>
          <t xml:space="preserve">Объединённая доля p</t>
        </is>
      </c>
      <c r="B12" s="4">
        <f>(B6*B4+B7*B5)/(B4+B5)</f>
        <v>0.45</v>
      </c>
      <c r="C12" t="inlineStr">
        <is>
          <t xml:space="preserve">при верной H0 обе доли оценивают одну величину</t>
        </is>
      </c>
    </row>
    <row r="13">
      <c r="A13" t="inlineStr" s="0">
        <is>
          <t xml:space="preserve">Стандартная ошибка SE</t>
        </is>
      </c>
      <c r="B13" s="4">
        <f>SQRT(B12*(1-B12)*(1/B4+1/B5))</f>
        <v>0.07035623639735145</v>
      </c>
      <c r="C13" t="inlineStr">
        <is>
          <t xml:space="preserve">разброс разности долей</t>
        </is>
      </c>
    </row>
    <row r="14">
      <c r="A14" t="inlineStr" s="0">
        <is>
          <t xml:space="preserve">Разность долей (pB - pA)</t>
        </is>
      </c>
      <c r="B14" s="4">
        <f>B7-B6</f>
        <v>0.09999999999999998</v>
      </c>
      <c r="C14" t="inlineStr">
        <is>
          <t xml:space="preserve">фактически наблюдаемый прирост</t>
        </is>
      </c>
    </row>
    <row r="15">
      <c r="A15" t="inlineStr" s="0">
        <is>
          <t xml:space="preserve">z-статистика</t>
        </is>
      </c>
      <c r="B15" s="4">
        <f>B14/B13</f>
        <v>1.4213381090374024</v>
      </c>
      <c r="C15" t="inlineStr">
        <is>
          <t xml:space="preserve">во сколько стандартных ошибок укладывается разница</t>
        </is>
      </c>
    </row>
    <row r="16">
      <c r="A16" t="inlineStr" s="0">
        <is>
          <t xml:space="preserve">Критическое значение НОРМСТОБР(1-alpha)</t>
        </is>
      </c>
      <c r="B16" s="4">
        <f>NORMSINV(1-B8)</f>
        <v>1.6448536269514722</v>
      </c>
      <c r="C16" t="inlineStr">
        <is>
          <t xml:space="preserve">тест односторонний, поэтому 0,95 а не 0,975</t>
        </is>
      </c>
    </row>
    <row r="17">
      <c r="A17" t="inlineStr" s="0">
        <is>
          <t xml:space="preserve">p-value</t>
        </is>
      </c>
      <c r="B17" s="4">
        <f>1-NORMSDIST(B15)</f>
        <v>0.077609244842342</v>
      </c>
      <c r="C17" t="inlineStr">
        <is>
          <t xml:space="preserve">вероятность такой разницы при верной H0</t>
        </is>
      </c>
    </row>
    <row r="18">
      <c r="A18" t="inlineStr" s="1">
        <is>
          <t xml:space="preserve">Вывод</t>
        </is>
      </c>
      <c r="B18" t="str" s="1">
        <f>IF(B15&gt;B16,"H0 отвергается: прирост значим","H0 не отвергается: прирост незначим")</f>
        <v>H0 не отвергается: прирост незначим</v>
      </c>
    </row>
    <row r="20">
      <c r="A20" t="inlineStr" s="3">
        <is>
          <t xml:space="preserve">Необходимый размер выборки (пункт 5)</t>
        </is>
      </c>
    </row>
    <row r="21">
      <c r="A21" t="inlineStr" s="0">
        <is>
          <t xml:space="preserve">delta — минимальный прирост, который надо выявить</t>
        </is>
      </c>
      <c r="B21" s="0">
        <v>0.05</v>
      </c>
    </row>
    <row r="22">
      <c r="A22" t="inlineStr" s="0">
        <is>
          <t xml:space="preserve">z_alpha = НОРМСТОБР(0,95)</t>
        </is>
      </c>
      <c r="B22" s="4">
        <f>NORMSINV(1-B8)</f>
        <v>1.6448536269514722</v>
      </c>
    </row>
    <row r="23">
      <c r="A23" t="inlineStr" s="0">
        <is>
          <t xml:space="preserve">z_beta = НОРМСТОБР(0,80)</t>
        </is>
      </c>
      <c r="B23" s="4">
        <f>NORMSINV(B9)</f>
        <v>0.8416212335729143</v>
      </c>
    </row>
    <row r="24">
      <c r="A24" t="inlineStr" s="0">
        <is>
          <t xml:space="preserve">Плановая объединённая доля</t>
        </is>
      </c>
      <c r="B24" s="4">
        <f>(B6+(B6+B21))/2</f>
        <v>0.42500000000000004</v>
      </c>
      <c r="C24" t="inlineStr">
        <is>
          <t xml:space="preserve">базовая 0,40 и целевая 0,45</t>
        </is>
      </c>
    </row>
    <row r="25">
      <c r="A25" t="inlineStr" s="1">
        <is>
          <t xml:space="preserve">n — пользователей в каждой группе</t>
        </is>
      </c>
      <c r="B25" s="1">
        <f>ROUNDUP((B22+B23)^2*2*B24*(1-B24)/B21^2,0)</f>
        <v>1209</v>
      </c>
    </row>
    <row r="26">
      <c r="A26" t="inlineStr" s="0">
        <is>
          <t xml:space="preserve">Всего пользователей в тесте</t>
        </is>
      </c>
      <c r="B26" s="0">
        <f>B25*2</f>
        <v>2418</v>
      </c>
    </row>
    <row r="28">
      <c r="A28" t="inlineStr" s="3">
        <is>
          <t xml:space="preserve">Минимальный выявляемый эффект при n = 100 (пункт 6)</t>
        </is>
      </c>
    </row>
    <row r="29">
      <c r="A29" t="inlineStr" s="0">
        <is>
          <t xml:space="preserve">n — пользователей в каждой группе</t>
        </is>
      </c>
      <c r="B29" s="0">
        <v>100</v>
      </c>
    </row>
    <row r="30">
      <c r="A30" t="inlineStr" s="1">
        <is>
          <t xml:space="preserve">MDE (в долях)</t>
        </is>
      </c>
      <c r="B30" s="4">
        <f>(B22+B23)*SQRT(2*B12*(1-B12)/B29)</f>
        <v>0.17493901308312518</v>
      </c>
    </row>
    <row r="31">
      <c r="A31" t="inlineStr" s="1">
        <is>
          <t xml:space="preserve">MDE (в процентных пунктах)</t>
        </is>
      </c>
      <c r="B31" s="5">
        <f>B30*100</f>
        <v>17.493901308312516</v>
      </c>
      <c r="C31" t="inlineStr">
        <is>
          <t xml:space="preserve">порог чувствительности теста</t>
        </is>
      </c>
    </row>
  </sheetData>
</worksheet>
</file>